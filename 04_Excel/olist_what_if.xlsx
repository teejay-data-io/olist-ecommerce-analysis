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ortfolio\Olist\"/>
    </mc:Choice>
  </mc:AlternateContent>
  <bookViews>
    <workbookView xWindow="0" yWindow="0" windowWidth="19200" windowHeight="7190"/>
  </bookViews>
  <sheets>
    <sheet name="State_Data" sheetId="1" r:id="rId1"/>
    <sheet name="What_if" sheetId="2" r:id="rId2"/>
  </sheets>
  <calcPr calcId="152511"/>
</workbook>
</file>

<file path=xl/calcChain.xml><?xml version="1.0" encoding="utf-8"?>
<calcChain xmlns="http://schemas.openxmlformats.org/spreadsheetml/2006/main">
  <c r="B8" i="2" l="1"/>
  <c r="B7" i="2"/>
  <c r="B6" i="2"/>
  <c r="B10" i="2" s="1"/>
  <c r="B9" i="2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11" i="2" l="1"/>
  <c r="B13" i="2" s="1"/>
  <c r="B12" i="2"/>
</calcChain>
</file>

<file path=xl/sharedStrings.xml><?xml version="1.0" encoding="utf-8"?>
<sst xmlns="http://schemas.openxmlformats.org/spreadsheetml/2006/main" count="50" uniqueCount="50">
  <si>
    <t>State</t>
  </si>
  <si>
    <t>Orders</t>
  </si>
  <si>
    <t>Customers</t>
  </si>
  <si>
    <t>GMV</t>
  </si>
  <si>
    <t>Freight</t>
  </si>
  <si>
    <t>AOV</t>
  </si>
  <si>
    <t>Late_Orders</t>
  </si>
  <si>
    <t>Avg_Review</t>
  </si>
  <si>
    <t>Late_Rate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</si>
  <si>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</si>
  <si>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</si>
  <si>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</si>
  <si>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</si>
  <si>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</si>
  <si>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</si>
  <si>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</si>
  <si>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</si>
  <si>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</si>
  <si>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</si>
  <si>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</si>
  <si>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</si>
  <si>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</si>
  <si>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</si>
  <si>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</si>
  <si>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</si>
  <si>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</si>
  <si>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</si>
  <si>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</si>
  <si>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</si>
  <si>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</si>
  <si>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</si>
  <si>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</si>
  <si>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</si>
  <si>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</si>
  <si>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</si>
  <si>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</si>
  <si>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 xml:space="preserve">Label </t>
  </si>
  <si>
    <t>Number</t>
  </si>
  <si>
    <t>Late order Cut</t>
  </si>
  <si>
    <t>Repeat Rate Uplift</t>
  </si>
  <si>
    <t>Assumed Margin</t>
  </si>
  <si>
    <t>Total GMV</t>
  </si>
  <si>
    <t>Total Orders</t>
  </si>
  <si>
    <t>Late Orders</t>
  </si>
  <si>
    <t>Late Saved</t>
  </si>
  <si>
    <t>Extra GMV</t>
  </si>
  <si>
    <t>New GMV</t>
  </si>
  <si>
    <t>Profit Now</t>
  </si>
  <si>
    <t>Profit New</t>
  </si>
  <si>
    <t xml:space="preserve">Note: 20% margin is an assumption, not Olist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</si>
</sst>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 &quot;#,##0.00"/>
    <numFmt numFmtId="165" formatCode="&quot; &quot;#,##0&quot; &quot;;&quot; (&quot;#,##0&quot;)&quot;;&quot; -&quot;00&quot; &quot;;&quot; &quot;@&quot; &quot;"/>
    <numFmt numFmtId="166" formatCode="&quot; &quot;#,##0.00&quot; &quot;;&quot; (&quot;#,##0.00&quot;)&quot;;&quot; -&quot;00&quot; &quot;;&quot; &quot;@&quot; &quot;"/>
  </numFmts>
  <fonts count="1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8"/>
      <color rgb="FF44546A"/>
      <name val="Calibri Light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BC2E6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8" borderId="0" applyNumberFormat="0" applyBorder="0" applyAlignment="0" applyProtection="0"/>
    <xf numFmtId="0" fontId="3" fillId="26" borderId="0" applyNumberFormat="0" applyBorder="0" applyAlignment="0" applyProtection="0"/>
    <xf numFmtId="0" fontId="13" fillId="30" borderId="0" applyNumberFormat="0" applyBorder="0" applyAlignment="0" applyProtection="0"/>
    <xf numFmtId="0" fontId="11" fillId="29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2" borderId="4" applyNumberFormat="0" applyAlignment="0" applyProtection="0"/>
    <xf numFmtId="0" fontId="17" fillId="0" borderId="0" applyNumberFormat="0" applyFill="0" applyBorder="0" applyAlignment="0" applyProtection="0"/>
    <xf numFmtId="0" fontId="1" fillId="31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1">
    <xf numFmtId="0" fontId="0" fillId="0" borderId="0" xfId="0"/>
    <xf numFmtId="0" fontId="18" fillId="19" borderId="0" xfId="0" applyFont="1" applyFill="1"/>
    <xf numFmtId="165" fontId="18" fillId="19" borderId="0" xfId="1" applyNumberFormat="1" applyFont="1" applyFill="1"/>
    <xf numFmtId="164" fontId="18" fillId="19" borderId="0" xfId="0" applyNumberFormat="1" applyFont="1" applyFill="1"/>
    <xf numFmtId="9" fontId="18" fillId="19" borderId="0" xfId="2" applyFont="1" applyFill="1"/>
    <xf numFmtId="165" fontId="1" fillId="0" borderId="0" xfId="1" applyNumberFormat="1"/>
    <xf numFmtId="164" fontId="0" fillId="0" borderId="0" xfId="0" applyNumberFormat="1"/>
    <xf numFmtId="9" fontId="1" fillId="0" borderId="0" xfId="2"/>
    <xf numFmtId="0" fontId="18" fillId="0" borderId="0" xfId="0" applyFont="1"/>
    <xf numFmtId="9" fontId="0" fillId="32" borderId="0" xfId="0" applyNumberFormat="1" applyFill="1"/>
    <xf numFmtId="164" fontId="1" fillId="0" borderId="0" xfId="1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 customBuiltin="1"/>
    <cellStyle name="Note" xfId="17" builtinId="10" customBuiltin="1"/>
    <cellStyle name="Output" xfId="12" builtinId="21" customBuiltin="1"/>
    <cellStyle name="Percent" xfId="2" builtinId="5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18" workbookViewId="0">
      <selection activeCell="L31" sqref="L31"/>
    </sheetView>
  </sheetViews>
  <sheetFormatPr defaultRowHeight="14.5" x14ac:dyDescent="0.35"/>
  <cols>
    <col min="1" max="1" width="5.453125" bestFit="1" customWidth="1"/>
    <col min="2" max="2" width="8.36328125" style="5" bestFit="1" customWidth="1"/>
    <col min="3" max="3" width="11.90625" style="5" bestFit="1" customWidth="1"/>
    <col min="4" max="4" width="13.90625" style="6" bestFit="1" customWidth="1"/>
    <col min="5" max="5" width="12.36328125" style="6" bestFit="1" customWidth="1"/>
    <col min="6" max="6" width="8.90625" style="6" bestFit="1" customWidth="1"/>
    <col min="7" max="7" width="13.36328125" style="5" bestFit="1" customWidth="1"/>
    <col min="8" max="8" width="11.90625" bestFit="1" customWidth="1"/>
    <col min="9" max="9" width="9.90625" bestFit="1" customWidth="1"/>
    <col min="10" max="10" width="8.7265625" customWidth="1"/>
  </cols>
  <sheetData>
    <row r="1" spans="1:9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4" t="s">
        <v>8</v>
      </c>
    </row>
    <row r="2" spans="1:9" x14ac:dyDescent="0.35">
      <c r="A2" t="s">
        <v>9</v>
      </c>
      <c r="B2" s="5">
        <v>40501</v>
      </c>
      <c r="C2" s="5">
        <v>39156</v>
      </c>
      <c r="D2" s="6">
        <v>5770266.1900000004</v>
      </c>
      <c r="E2" s="6">
        <v>702069.99</v>
      </c>
      <c r="F2" s="6">
        <v>142.47999999999999</v>
      </c>
      <c r="G2" s="5">
        <v>2387</v>
      </c>
      <c r="H2">
        <v>4.25</v>
      </c>
      <c r="I2" s="7">
        <f t="shared" ref="I2:I28" si="0">G2/B2</f>
        <v>5.8936816374904326E-2</v>
      </c>
    </row>
    <row r="3" spans="1:9" x14ac:dyDescent="0.35">
      <c r="A3" t="s">
        <v>10</v>
      </c>
      <c r="B3" s="5">
        <v>12350</v>
      </c>
      <c r="C3" s="5">
        <v>11917</v>
      </c>
      <c r="D3" s="6">
        <v>2055690.45</v>
      </c>
      <c r="E3" s="6">
        <v>295750.44</v>
      </c>
      <c r="F3" s="6">
        <v>166.45</v>
      </c>
      <c r="G3" s="5">
        <v>1664</v>
      </c>
      <c r="H3">
        <v>3.97</v>
      </c>
      <c r="I3" s="7">
        <f t="shared" si="0"/>
        <v>0.13473684210526315</v>
      </c>
    </row>
    <row r="4" spans="1:9" x14ac:dyDescent="0.35">
      <c r="A4" t="s">
        <v>11</v>
      </c>
      <c r="B4" s="5">
        <v>11354</v>
      </c>
      <c r="C4" s="5">
        <v>11001</v>
      </c>
      <c r="D4" s="6">
        <v>1819277.61</v>
      </c>
      <c r="E4" s="6">
        <v>266409.84000000003</v>
      </c>
      <c r="F4" s="6">
        <v>160.22999999999999</v>
      </c>
      <c r="G4" s="5">
        <v>637</v>
      </c>
      <c r="H4">
        <v>4.1900000000000004</v>
      </c>
      <c r="I4" s="7">
        <f t="shared" si="0"/>
        <v>5.6103575832305796E-2</v>
      </c>
    </row>
    <row r="5" spans="1:9" x14ac:dyDescent="0.35">
      <c r="A5" t="s">
        <v>12</v>
      </c>
      <c r="B5" s="5">
        <v>5345</v>
      </c>
      <c r="C5" s="5">
        <v>5168</v>
      </c>
      <c r="D5" s="6">
        <v>861802.4</v>
      </c>
      <c r="E5" s="6">
        <v>132575.32</v>
      </c>
      <c r="F5" s="6">
        <v>161.24</v>
      </c>
      <c r="G5" s="5">
        <v>382</v>
      </c>
      <c r="H5">
        <v>4.1900000000000004</v>
      </c>
      <c r="I5" s="7">
        <f t="shared" si="0"/>
        <v>7.1468662301216096E-2</v>
      </c>
    </row>
    <row r="6" spans="1:9" x14ac:dyDescent="0.35">
      <c r="A6" t="s">
        <v>13</v>
      </c>
      <c r="B6" s="5">
        <v>4923</v>
      </c>
      <c r="C6" s="5">
        <v>4769</v>
      </c>
      <c r="D6" s="6">
        <v>781919.55</v>
      </c>
      <c r="E6" s="6">
        <v>115645.29</v>
      </c>
      <c r="F6" s="6">
        <v>158.83000000000001</v>
      </c>
      <c r="G6" s="5">
        <v>246</v>
      </c>
      <c r="H6">
        <v>4.24</v>
      </c>
      <c r="I6" s="7">
        <f t="shared" si="0"/>
        <v>4.9969530773918344E-2</v>
      </c>
    </row>
    <row r="7" spans="1:9" x14ac:dyDescent="0.35">
      <c r="A7" t="s">
        <v>14</v>
      </c>
      <c r="B7" s="5">
        <v>3546</v>
      </c>
      <c r="C7" s="5">
        <v>3449</v>
      </c>
      <c r="D7" s="6">
        <v>595208.4</v>
      </c>
      <c r="E7" s="6">
        <v>88115.65</v>
      </c>
      <c r="F7" s="6">
        <v>167.85</v>
      </c>
      <c r="G7" s="5">
        <v>346</v>
      </c>
      <c r="H7">
        <v>4.13</v>
      </c>
      <c r="I7" s="7">
        <f t="shared" si="0"/>
        <v>9.7574732092498589E-2</v>
      </c>
    </row>
    <row r="8" spans="1:9" x14ac:dyDescent="0.35">
      <c r="A8" t="s">
        <v>15</v>
      </c>
      <c r="B8" s="5">
        <v>3256</v>
      </c>
      <c r="C8" s="5">
        <v>3158</v>
      </c>
      <c r="D8" s="6">
        <v>591270.6</v>
      </c>
      <c r="E8" s="6">
        <v>97553.67</v>
      </c>
      <c r="F8" s="6">
        <v>181.59</v>
      </c>
      <c r="G8" s="5">
        <v>457</v>
      </c>
      <c r="H8">
        <v>3.93</v>
      </c>
      <c r="I8" s="7">
        <f t="shared" si="0"/>
        <v>0.14035626535626536</v>
      </c>
    </row>
    <row r="9" spans="1:9" x14ac:dyDescent="0.35">
      <c r="A9" t="s">
        <v>16</v>
      </c>
      <c r="B9" s="5">
        <v>2080</v>
      </c>
      <c r="C9" s="5">
        <v>2019</v>
      </c>
      <c r="D9" s="6">
        <v>346146.17</v>
      </c>
      <c r="E9" s="6">
        <v>49624.94</v>
      </c>
      <c r="F9" s="6">
        <v>166.42</v>
      </c>
      <c r="G9" s="5">
        <v>147</v>
      </c>
      <c r="H9">
        <v>4.13</v>
      </c>
      <c r="I9" s="7">
        <f t="shared" si="0"/>
        <v>7.0673076923076922E-2</v>
      </c>
    </row>
    <row r="10" spans="1:9" x14ac:dyDescent="0.35">
      <c r="A10" t="s">
        <v>17</v>
      </c>
      <c r="B10" s="5">
        <v>1957</v>
      </c>
      <c r="C10" s="5">
        <v>1895</v>
      </c>
      <c r="D10" s="6">
        <v>334294.21999999997</v>
      </c>
      <c r="E10" s="6">
        <v>51375.65</v>
      </c>
      <c r="F10" s="6">
        <v>170.82</v>
      </c>
      <c r="G10" s="5">
        <v>160</v>
      </c>
      <c r="H10">
        <v>4.0999999999999996</v>
      </c>
      <c r="I10" s="7">
        <f t="shared" si="0"/>
        <v>8.1757792539601429E-2</v>
      </c>
    </row>
    <row r="11" spans="1:9" x14ac:dyDescent="0.35">
      <c r="A11" t="s">
        <v>18</v>
      </c>
      <c r="B11" s="5">
        <v>1995</v>
      </c>
      <c r="C11" s="5">
        <v>1928</v>
      </c>
      <c r="D11" s="6">
        <v>317682.65000000002</v>
      </c>
      <c r="E11" s="6">
        <v>49014.48</v>
      </c>
      <c r="F11" s="6">
        <v>159.24</v>
      </c>
      <c r="G11" s="5">
        <v>244</v>
      </c>
      <c r="H11">
        <v>4.08</v>
      </c>
      <c r="I11" s="7">
        <f t="shared" si="0"/>
        <v>0.12230576441102757</v>
      </c>
    </row>
    <row r="12" spans="1:9" x14ac:dyDescent="0.35">
      <c r="A12" t="s">
        <v>19</v>
      </c>
      <c r="B12" s="5">
        <v>1593</v>
      </c>
      <c r="C12" s="5">
        <v>1551</v>
      </c>
      <c r="D12" s="6">
        <v>309074.59000000003</v>
      </c>
      <c r="E12" s="6">
        <v>57082.559999999998</v>
      </c>
      <c r="F12" s="6">
        <v>194.02</v>
      </c>
      <c r="G12" s="5">
        <v>172</v>
      </c>
      <c r="H12">
        <v>4.08</v>
      </c>
      <c r="I12" s="7">
        <f t="shared" si="0"/>
        <v>0.10797237915881984</v>
      </c>
    </row>
    <row r="13" spans="1:9" x14ac:dyDescent="0.35">
      <c r="A13" t="s">
        <v>20</v>
      </c>
      <c r="B13" s="5">
        <v>1279</v>
      </c>
      <c r="C13" s="5">
        <v>1258</v>
      </c>
      <c r="D13" s="6">
        <v>266463.96999999997</v>
      </c>
      <c r="E13" s="6">
        <v>46679.39</v>
      </c>
      <c r="F13" s="6">
        <v>208.34</v>
      </c>
      <c r="G13" s="5">
        <v>196</v>
      </c>
      <c r="H13">
        <v>3.94</v>
      </c>
      <c r="I13" s="7">
        <f t="shared" si="0"/>
        <v>0.15324472243940579</v>
      </c>
    </row>
    <row r="14" spans="1:9" x14ac:dyDescent="0.35">
      <c r="A14" t="s">
        <v>21</v>
      </c>
      <c r="B14" s="5">
        <v>946</v>
      </c>
      <c r="C14" s="5">
        <v>922</v>
      </c>
      <c r="D14" s="6">
        <v>212027.55</v>
      </c>
      <c r="E14" s="6">
        <v>37552.980000000003</v>
      </c>
      <c r="F14" s="6">
        <v>224.13</v>
      </c>
      <c r="G14" s="5">
        <v>117</v>
      </c>
      <c r="H14">
        <v>3.91</v>
      </c>
      <c r="I14" s="7">
        <f t="shared" si="0"/>
        <v>0.12367864693446089</v>
      </c>
    </row>
    <row r="15" spans="1:9" x14ac:dyDescent="0.35">
      <c r="A15" t="s">
        <v>22</v>
      </c>
      <c r="B15" s="5">
        <v>886</v>
      </c>
      <c r="C15" s="5">
        <v>856</v>
      </c>
      <c r="D15" s="6">
        <v>181441.72</v>
      </c>
      <c r="E15" s="6">
        <v>29032.799999999999</v>
      </c>
      <c r="F15" s="6">
        <v>204.79</v>
      </c>
      <c r="G15" s="5">
        <v>60</v>
      </c>
      <c r="H15">
        <v>4.1500000000000004</v>
      </c>
      <c r="I15" s="7">
        <f t="shared" si="0"/>
        <v>6.772009029345373E-2</v>
      </c>
    </row>
    <row r="16" spans="1:9" x14ac:dyDescent="0.35">
      <c r="A16" t="s">
        <v>23</v>
      </c>
      <c r="B16" s="5">
        <v>717</v>
      </c>
      <c r="C16" s="5">
        <v>700</v>
      </c>
      <c r="D16" s="6">
        <v>147807.29</v>
      </c>
      <c r="E16" s="6">
        <v>30794.17</v>
      </c>
      <c r="F16" s="6">
        <v>206.15</v>
      </c>
      <c r="G16" s="5">
        <v>141</v>
      </c>
      <c r="H16">
        <v>3.83</v>
      </c>
      <c r="I16" s="7">
        <f t="shared" si="0"/>
        <v>0.19665271966527198</v>
      </c>
    </row>
    <row r="17" spans="1:9" x14ac:dyDescent="0.35">
      <c r="A17" t="s">
        <v>24</v>
      </c>
      <c r="B17" s="5">
        <v>517</v>
      </c>
      <c r="C17" s="5">
        <v>504</v>
      </c>
      <c r="D17" s="6">
        <v>137834.65</v>
      </c>
      <c r="E17" s="6">
        <v>25251.73</v>
      </c>
      <c r="F17" s="6">
        <v>266.60000000000002</v>
      </c>
      <c r="G17" s="5">
        <v>57</v>
      </c>
      <c r="H17">
        <v>4.08</v>
      </c>
      <c r="I17" s="7">
        <f t="shared" si="0"/>
        <v>0.1102514506769826</v>
      </c>
    </row>
    <row r="18" spans="1:9" x14ac:dyDescent="0.35">
      <c r="A18" t="s">
        <v>25</v>
      </c>
      <c r="B18" s="5">
        <v>701</v>
      </c>
      <c r="C18" s="5">
        <v>681</v>
      </c>
      <c r="D18" s="6">
        <v>134421.54</v>
      </c>
      <c r="E18" s="6">
        <v>18937.580000000002</v>
      </c>
      <c r="F18" s="6">
        <v>191.76</v>
      </c>
      <c r="G18" s="5">
        <v>81</v>
      </c>
      <c r="H18">
        <v>4.16</v>
      </c>
      <c r="I18" s="7">
        <f t="shared" si="0"/>
        <v>0.11554921540656206</v>
      </c>
    </row>
    <row r="19" spans="1:9" x14ac:dyDescent="0.35">
      <c r="A19" t="s">
        <v>26</v>
      </c>
      <c r="B19" s="5">
        <v>476</v>
      </c>
      <c r="C19" s="5">
        <v>464</v>
      </c>
      <c r="D19" s="6">
        <v>105272.17</v>
      </c>
      <c r="E19" s="6">
        <v>20457.189999999999</v>
      </c>
      <c r="F19" s="6">
        <v>221.16</v>
      </c>
      <c r="G19" s="5">
        <v>76</v>
      </c>
      <c r="H19">
        <v>3.99</v>
      </c>
      <c r="I19" s="7">
        <f t="shared" si="0"/>
        <v>0.15966386554621848</v>
      </c>
    </row>
    <row r="20" spans="1:9" x14ac:dyDescent="0.35">
      <c r="A20" t="s">
        <v>27</v>
      </c>
      <c r="B20" s="5">
        <v>474</v>
      </c>
      <c r="C20" s="5">
        <v>464</v>
      </c>
      <c r="D20" s="6">
        <v>100728.3</v>
      </c>
      <c r="E20" s="6">
        <v>18609.12</v>
      </c>
      <c r="F20" s="6">
        <v>212.51</v>
      </c>
      <c r="G20" s="5">
        <v>51</v>
      </c>
      <c r="H20">
        <v>4.1500000000000004</v>
      </c>
      <c r="I20" s="7">
        <f t="shared" si="0"/>
        <v>0.10759493670886076</v>
      </c>
    </row>
    <row r="21" spans="1:9" x14ac:dyDescent="0.35">
      <c r="A21" t="s">
        <v>28</v>
      </c>
      <c r="B21" s="5">
        <v>397</v>
      </c>
      <c r="C21" s="5">
        <v>387</v>
      </c>
      <c r="D21" s="6">
        <v>94195.79</v>
      </c>
      <c r="E21" s="6">
        <v>15316.77</v>
      </c>
      <c r="F21" s="6">
        <v>237.27</v>
      </c>
      <c r="G21" s="5">
        <v>95</v>
      </c>
      <c r="H21">
        <v>3.85</v>
      </c>
      <c r="I21" s="7">
        <f t="shared" si="0"/>
        <v>0.23929471032745592</v>
      </c>
    </row>
    <row r="22" spans="1:9" x14ac:dyDescent="0.35">
      <c r="A22" t="s">
        <v>29</v>
      </c>
      <c r="B22" s="5">
        <v>335</v>
      </c>
      <c r="C22" s="5">
        <v>329</v>
      </c>
      <c r="D22" s="6">
        <v>70289.13</v>
      </c>
      <c r="E22" s="6">
        <v>13714.94</v>
      </c>
      <c r="F22" s="6">
        <v>209.82</v>
      </c>
      <c r="G22" s="5">
        <v>51</v>
      </c>
      <c r="H22">
        <v>3.91</v>
      </c>
      <c r="I22" s="7">
        <f t="shared" si="0"/>
        <v>0.15223880597014924</v>
      </c>
    </row>
    <row r="23" spans="1:9" x14ac:dyDescent="0.35">
      <c r="A23" t="s">
        <v>30</v>
      </c>
      <c r="B23" s="5">
        <v>274</v>
      </c>
      <c r="C23" s="5">
        <v>267</v>
      </c>
      <c r="D23" s="6">
        <v>60007.37</v>
      </c>
      <c r="E23" s="6">
        <v>11604.86</v>
      </c>
      <c r="F23" s="6">
        <v>219</v>
      </c>
      <c r="G23" s="5">
        <v>35</v>
      </c>
      <c r="H23">
        <v>4.1500000000000004</v>
      </c>
      <c r="I23" s="7">
        <f t="shared" si="0"/>
        <v>0.12773722627737227</v>
      </c>
    </row>
    <row r="24" spans="1:9" x14ac:dyDescent="0.35">
      <c r="A24" t="s">
        <v>31</v>
      </c>
      <c r="B24" s="5">
        <v>243</v>
      </c>
      <c r="C24" s="5">
        <v>231</v>
      </c>
      <c r="D24" s="6">
        <v>56975.7</v>
      </c>
      <c r="E24" s="6">
        <v>11283.24</v>
      </c>
      <c r="F24" s="6">
        <v>234.47</v>
      </c>
      <c r="G24" s="5">
        <v>7</v>
      </c>
      <c r="H24">
        <v>4.17</v>
      </c>
      <c r="I24" s="7">
        <f t="shared" si="0"/>
        <v>2.8806584362139918E-2</v>
      </c>
    </row>
    <row r="25" spans="1:9" x14ac:dyDescent="0.35">
      <c r="A25" t="s">
        <v>32</v>
      </c>
      <c r="B25" s="5">
        <v>145</v>
      </c>
      <c r="C25" s="5">
        <v>140</v>
      </c>
      <c r="D25" s="6">
        <v>27596.18</v>
      </c>
      <c r="E25" s="6">
        <v>5429.63</v>
      </c>
      <c r="F25" s="6">
        <v>190.32</v>
      </c>
      <c r="G25" s="5">
        <v>6</v>
      </c>
      <c r="H25">
        <v>4.24</v>
      </c>
      <c r="I25" s="7">
        <f t="shared" si="0"/>
        <v>4.1379310344827586E-2</v>
      </c>
    </row>
    <row r="26" spans="1:9" x14ac:dyDescent="0.35">
      <c r="A26" t="s">
        <v>33</v>
      </c>
      <c r="B26" s="5">
        <v>80</v>
      </c>
      <c r="C26" s="5">
        <v>76</v>
      </c>
      <c r="D26" s="6">
        <v>19586.25</v>
      </c>
      <c r="E26" s="6">
        <v>3644.36</v>
      </c>
      <c r="F26" s="6">
        <v>244.83</v>
      </c>
      <c r="G26" s="5">
        <v>3</v>
      </c>
      <c r="H26">
        <v>4.09</v>
      </c>
      <c r="I26" s="7">
        <f t="shared" si="0"/>
        <v>3.7499999999999999E-2</v>
      </c>
    </row>
    <row r="27" spans="1:9" x14ac:dyDescent="0.35">
      <c r="A27" t="s">
        <v>34</v>
      </c>
      <c r="B27" s="5">
        <v>67</v>
      </c>
      <c r="C27" s="5">
        <v>66</v>
      </c>
      <c r="D27" s="6">
        <v>16141.81</v>
      </c>
      <c r="E27" s="6">
        <v>2767</v>
      </c>
      <c r="F27" s="6">
        <v>240.92</v>
      </c>
      <c r="G27" s="5">
        <v>3</v>
      </c>
      <c r="H27">
        <v>4.24</v>
      </c>
      <c r="I27" s="7">
        <f t="shared" si="0"/>
        <v>4.4776119402985072E-2</v>
      </c>
    </row>
    <row r="28" spans="1:9" x14ac:dyDescent="0.35">
      <c r="A28" t="s">
        <v>35</v>
      </c>
      <c r="B28" s="5">
        <v>41</v>
      </c>
      <c r="C28" s="5">
        <v>40</v>
      </c>
      <c r="D28" s="6">
        <v>9039.52</v>
      </c>
      <c r="E28" s="6">
        <v>1982.05</v>
      </c>
      <c r="F28" s="6">
        <v>220.48</v>
      </c>
      <c r="G28" s="5">
        <v>5</v>
      </c>
      <c r="H28">
        <v>3.9</v>
      </c>
      <c r="I28" s="7">
        <f t="shared" si="0"/>
        <v>0.12195121951219512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5" x14ac:dyDescent="0.35"/>
  <cols>
    <col min="1" max="1" width="15.7265625" bestFit="1" customWidth="1"/>
    <col min="2" max="2" width="20.453125" bestFit="1" customWidth="1"/>
    <col min="3" max="3" width="8.7265625" customWidth="1"/>
  </cols>
  <sheetData>
    <row r="1" spans="1:2" ht="15.5" x14ac:dyDescent="0.35">
      <c r="A1" s="8" t="s">
        <v>36</v>
      </c>
      <c r="B1" s="8" t="s">
        <v>37</v>
      </c>
    </row>
    <row r="2" spans="1:2" x14ac:dyDescent="0.35">
      <c r="A2" t="s">
        <v>38</v>
      </c>
      <c r="B2" s="9">
        <v>0.5</v>
      </c>
    </row>
    <row r="3" spans="1:2" x14ac:dyDescent="0.35">
      <c r="A3" t="s">
        <v>39</v>
      </c>
      <c r="B3" s="9">
        <v>0.02</v>
      </c>
    </row>
    <row r="4" spans="1:2" x14ac:dyDescent="0.35">
      <c r="A4" t="s">
        <v>40</v>
      </c>
      <c r="B4" s="9">
        <v>0.2</v>
      </c>
    </row>
    <row r="6" spans="1:2" x14ac:dyDescent="0.35">
      <c r="A6" t="s">
        <v>41</v>
      </c>
      <c r="B6" s="10">
        <f>SUM(State_Data!D:D)</f>
        <v>15422461.770000001</v>
      </c>
    </row>
    <row r="7" spans="1:2" x14ac:dyDescent="0.35">
      <c r="A7" t="s">
        <v>42</v>
      </c>
      <c r="B7" s="5">
        <f>SUM(State_Data!B:B)</f>
        <v>96478</v>
      </c>
    </row>
    <row r="8" spans="1:2" x14ac:dyDescent="0.35">
      <c r="A8" t="s">
        <v>43</v>
      </c>
      <c r="B8" s="5">
        <f>SUM(State_Data!G:G)</f>
        <v>7826</v>
      </c>
    </row>
    <row r="9" spans="1:2" x14ac:dyDescent="0.35">
      <c r="A9" t="s">
        <v>44</v>
      </c>
      <c r="B9" s="5">
        <f>B8*B2</f>
        <v>3913</v>
      </c>
    </row>
    <row r="10" spans="1:2" x14ac:dyDescent="0.35">
      <c r="A10" t="s">
        <v>45</v>
      </c>
      <c r="B10" s="10">
        <f>B3*SUM(State_Data!C:C)*(B6/B7)</f>
        <v>298595.79167704971</v>
      </c>
    </row>
    <row r="11" spans="1:2" x14ac:dyDescent="0.35">
      <c r="A11" t="s">
        <v>46</v>
      </c>
      <c r="B11" s="10">
        <f>B6+B10</f>
        <v>15721057.561677052</v>
      </c>
    </row>
    <row r="12" spans="1:2" x14ac:dyDescent="0.35">
      <c r="A12" t="s">
        <v>47</v>
      </c>
      <c r="B12" s="10">
        <f>B6*B4</f>
        <v>3084492.3540000003</v>
      </c>
    </row>
    <row r="13" spans="1:2" x14ac:dyDescent="0.35">
      <c r="A13" t="s">
        <v>48</v>
      </c>
      <c r="B13" s="10">
        <f>B11*B4</f>
        <v>3144211.5123354103</v>
      </c>
    </row>
    <row r="15" spans="1:2" x14ac:dyDescent="0.35">
      <c r="A15" t="s">
        <v>49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State_Data</vt:lpstr>
      <vt:lpstr>What_if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2026-10-16T14:17:22Z</dcterms:created>
  <dcterms:modified xsi:type="dcterms:W3CDTF">2026-10-16T15:23:45Z</dcterms:modified>
</cp:coreProperties>
</file>